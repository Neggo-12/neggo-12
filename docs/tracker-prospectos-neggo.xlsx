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ercios" sheetId="1" state="visible" r:id="rId1"/>
    <sheet xmlns:r="http://schemas.openxmlformats.org/officeDocument/2006/relationships" name="Constructoras" sheetId="2" state="visible" r:id="rId2"/>
    <sheet xmlns:r="http://schemas.openxmlformats.org/officeDocument/2006/relationships" name="Métricas" sheetId="3" state="visible" r:id="rId3"/>
    <sheet xmlns:r="http://schemas.openxmlformats.org/officeDocument/2006/relationships" name="LinkedI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b val="1"/>
      <sz val="13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3D"/>
        <bgColor rgb="FF003366"/>
      </patternFill>
    </fill>
    <fill>
      <patternFill patternType="solid">
        <fgColor rgb="FF1F4E3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2" customWidth="1" style="6" min="2" max="2"/>
    <col width="16" customWidth="1" style="6" min="3" max="3"/>
    <col width="18" customWidth="1" style="6" min="4" max="4"/>
    <col width="14" customWidth="1" style="6" min="5" max="5"/>
    <col width="16" customWidth="1" style="6" min="6" max="6"/>
    <col width="15" customWidth="1" style="6" min="7" max="7"/>
    <col width="18" customWidth="1" style="6" min="8" max="8"/>
    <col width="14" customWidth="1" style="6" min="9" max="9"/>
    <col width="20" customWidth="1" style="6" min="10" max="10"/>
    <col width="16" customWidth="1" style="6" min="11" max="11"/>
    <col width="30" customWidth="1" style="6" min="12" max="12"/>
  </cols>
  <sheetData>
    <row r="1" ht="16.15" customHeight="1" s="7">
      <c r="A1" s="8" t="inlineStr">
        <is>
          <t>Tracker de Prospección — Comercios</t>
        </is>
      </c>
    </row>
    <row r="2" ht="15" customHeight="1" s="7">
      <c r="A2" s="9" t="inlineStr">
        <is>
          <t>Editar solo filas debajo del encabezado. Estado: Prospecto / Contactado / Interesado / Demo agendada / Registrado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Nombre negocio</t>
        </is>
      </c>
      <c r="C4" s="10" t="inlineStr">
        <is>
          <t>Categoría</t>
        </is>
      </c>
      <c r="D4" s="10" t="inlineStr">
        <is>
          <t>Subcategoría</t>
        </is>
      </c>
      <c r="E4" s="10" t="inlineStr">
        <is>
          <t>Comuna/Ciudad</t>
        </is>
      </c>
      <c r="F4" s="10" t="inlineStr">
        <is>
          <t>Contacto (nombre)</t>
        </is>
      </c>
      <c r="G4" s="10" t="inlineStr">
        <is>
          <t>WhatsApp</t>
        </is>
      </c>
      <c r="H4" s="10" t="inlineStr">
        <is>
          <t>Instagram</t>
        </is>
      </c>
      <c r="I4" s="10" t="inlineStr">
        <is>
          <t>Estado</t>
        </is>
      </c>
      <c r="J4" s="10" t="inlineStr">
        <is>
          <t>Próxima acción</t>
        </is>
      </c>
      <c r="K4" s="10" t="inlineStr">
        <is>
          <t>Fecha próxima acción</t>
        </is>
      </c>
      <c r="L4" s="10" t="inlineStr">
        <is>
          <t>Notas</t>
        </is>
      </c>
    </row>
    <row r="5" ht="15" customHeight="1" s="7">
      <c r="A5" s="11" t="inlineStr">
        <is>
          <t>2026-07-17</t>
        </is>
      </c>
      <c r="B5" s="11" t="inlineStr">
        <is>
          <t>Sonrisa Studio (ejemplo)</t>
        </is>
      </c>
      <c r="C5" s="11" t="inlineStr">
        <is>
          <t>Salud y Estética</t>
        </is>
      </c>
      <c r="D5" s="11" t="inlineStr">
        <is>
          <t>Diseño de Sonrisa</t>
        </is>
      </c>
      <c r="E5" s="11" t="inlineStr">
        <is>
          <t>El Poblado</t>
        </is>
      </c>
      <c r="F5" s="11" t="inlineStr">
        <is>
          <t>Juliana Pérez</t>
        </is>
      </c>
      <c r="G5" s="11" t="inlineStr">
        <is>
          <t>+57 300 000 0000</t>
        </is>
      </c>
      <c r="H5" s="11" t="inlineStr">
        <is>
          <t>@sonrisastudio.med</t>
        </is>
      </c>
      <c r="I5" s="11" t="inlineStr">
        <is>
          <t>Contactado</t>
        </is>
      </c>
      <c r="J5" s="11" t="inlineStr">
        <is>
          <t>Llamar de seguimiento</t>
        </is>
      </c>
      <c r="K5" s="11" t="inlineStr">
        <is>
          <t>2026-07-18</t>
        </is>
      </c>
      <c r="L5" s="11" t="inlineStr">
        <is>
          <t>Respondió el DM, pidió más info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15" customHeight="1" s="7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 ht="15" customHeight="1" s="7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15" customHeight="1" s="7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 ht="15" customHeight="1" s="7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15" customHeight="1" s="7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 ht="15" customHeight="1" s="7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 ht="15" customHeight="1" s="7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 ht="15" customHeight="1" s="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 ht="15" customHeight="1" s="7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 ht="15" customHeight="1" s="7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4" customWidth="1" style="6" min="2" max="2"/>
    <col width="22" customWidth="1" style="6" min="3" max="3"/>
    <col width="14" customWidth="1" style="6" min="4" max="4"/>
    <col width="18" customWidth="1" style="6" min="5" max="6"/>
    <col width="20" customWidth="1" style="6" min="7" max="7"/>
    <col width="16" customWidth="1" style="6" min="8" max="8"/>
    <col width="22" customWidth="1" style="6" min="9" max="9"/>
    <col width="18" customWidth="1" style="6" min="10" max="10"/>
    <col width="30" customWidth="1" style="6" min="11" max="11"/>
  </cols>
  <sheetData>
    <row r="1" ht="16.15" customHeight="1" s="7">
      <c r="A1" s="8" t="inlineStr">
        <is>
          <t>Tracker de Prospección — Constructoras</t>
        </is>
      </c>
    </row>
    <row r="2" ht="15" customHeight="1" s="7">
      <c r="A2" s="9" t="inlineStr">
        <is>
          <t>Fase 2 — arrancar cuando haya 5-10 comercios activos. Estado: Prospecto / Contactado / Reunión agendada / Propuesta enviada / Piloto / Cerrado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Constructora</t>
        </is>
      </c>
      <c r="C4" s="10" t="inlineStr">
        <is>
          <t>Proyecto(s)</t>
        </is>
      </c>
      <c r="D4" s="10" t="inlineStr">
        <is>
          <t>Ciudad</t>
        </is>
      </c>
      <c r="E4" s="10" t="inlineStr">
        <is>
          <t>Contacto (nombre)</t>
        </is>
      </c>
      <c r="F4" s="10" t="inlineStr">
        <is>
          <t>Cargo</t>
        </is>
      </c>
      <c r="G4" s="10" t="inlineStr">
        <is>
          <t>Teléfono/Email</t>
        </is>
      </c>
      <c r="H4" s="10" t="inlineStr">
        <is>
          <t>Estado</t>
        </is>
      </c>
      <c r="I4" s="10" t="inlineStr">
        <is>
          <t>Próxima acción</t>
        </is>
      </c>
      <c r="J4" s="10" t="inlineStr">
        <is>
          <t>Fecha próxima acción</t>
        </is>
      </c>
      <c r="K4" s="10" t="inlineStr">
        <is>
          <t>Notas</t>
        </is>
      </c>
    </row>
    <row r="5" ht="15" customHeight="1" s="7">
      <c r="A5" s="11" t="n"/>
      <c r="B5" s="11" t="inlineStr">
        <is>
          <t>Ejemplo Constructora S.A.S.</t>
        </is>
      </c>
      <c r="C5" s="11" t="inlineStr">
        <is>
          <t>Proyecto Torres del Valle</t>
        </is>
      </c>
      <c r="D5" s="11" t="inlineStr">
        <is>
          <t>Envigado</t>
        </is>
      </c>
      <c r="E5" s="11" t="inlineStr">
        <is>
          <t>Carlos Gómez</t>
        </is>
      </c>
      <c r="F5" s="11" t="inlineStr">
        <is>
          <t>Gerente Comercial</t>
        </is>
      </c>
      <c r="G5" s="11" t="inlineStr">
        <is>
          <t>carlos@ejemplo.com</t>
        </is>
      </c>
      <c r="H5" s="11" t="inlineStr">
        <is>
          <t>Prospecto</t>
        </is>
      </c>
      <c r="I5" s="11" t="inlineStr">
        <is>
          <t>Enviar mensaje inicial LinkedIn</t>
        </is>
      </c>
      <c r="J5" s="11" t="n"/>
      <c r="K5" s="11" t="inlineStr">
        <is>
          <t>Contacto de Camacol Antioquia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6" min="1" max="1"/>
    <col width="20" customWidth="1" style="6" min="2" max="2"/>
    <col width="14" customWidth="1" style="6" min="3" max="3"/>
    <col width="16" customWidth="1" style="6" min="4" max="4"/>
    <col width="20" customWidth="1" style="6" min="5" max="5"/>
    <col width="12" customWidth="1" style="6" min="6" max="6"/>
    <col width="10" customWidth="1" style="6" min="7" max="7"/>
    <col width="20" customWidth="1" style="6" min="8" max="8"/>
    <col width="18" customWidth="1" style="6" min="9" max="9"/>
  </cols>
  <sheetData>
    <row r="1" ht="16.15" customHeight="1" s="7">
      <c r="A1" s="8" t="inlineStr">
        <is>
          <t>Métricas Semanales</t>
        </is>
      </c>
    </row>
    <row r="2" ht="15" customHeight="1" s="7">
      <c r="A2" s="9" t="inlineStr">
        <is>
          <t>Fila 'Semana 1' ya tiene fórmulas que cuentan automático desde la hoja Comercios. Agregar una fila nueva por semana.</t>
        </is>
      </c>
    </row>
    <row r="4" ht="26.85" customHeight="1" s="7">
      <c r="A4" s="10" t="inlineStr">
        <is>
          <t>Semana</t>
        </is>
      </c>
      <c r="B4" s="10" t="inlineStr">
        <is>
          <t>Comercios contactados</t>
        </is>
      </c>
      <c r="C4" s="10" t="inlineStr">
        <is>
          <t>Respuestas</t>
        </is>
      </c>
      <c r="D4" s="10" t="inlineStr">
        <is>
          <t>Demos agendadas</t>
        </is>
      </c>
      <c r="E4" s="10" t="inlineStr">
        <is>
          <t>Comercios registrados</t>
        </is>
      </c>
      <c r="F4" s="10" t="inlineStr">
        <is>
          <t>% Respuesta</t>
        </is>
      </c>
      <c r="G4" s="10" t="inlineStr">
        <is>
          <t>% Cierre</t>
        </is>
      </c>
      <c r="H4" s="10" t="inlineStr">
        <is>
          <t>Constructoras contactadas</t>
        </is>
      </c>
      <c r="I4" s="10" t="inlineStr">
        <is>
          <t>Clientes B2C nuevos</t>
        </is>
      </c>
    </row>
    <row r="5" ht="15" customHeight="1" s="7">
      <c r="A5" s="11" t="inlineStr">
        <is>
          <t>Semana 1</t>
        </is>
      </c>
      <c r="B5" s="11">
        <f>COUNTA(Comercios!A5:A200)</f>
        <v/>
      </c>
      <c r="C5" s="11">
        <f>COUNTIF(Comercios!I5:I200,"Interesado")+COUNTIF(Comercios!I5:I200,"Demo agendada")+COUNTIF(Comercios!I5:I200,"Registrado")</f>
        <v/>
      </c>
      <c r="D5" s="11">
        <f>COUNTIF(Comercios!I5:I200,"Demo agendada")+COUNTIF(Comercios!I5:I200,"Registrado")</f>
        <v/>
      </c>
      <c r="E5" s="11">
        <f>COUNTIF(Comercios!I5:I200,"Registrado")</f>
        <v/>
      </c>
      <c r="F5" s="12">
        <f>IFERROR(C5/B5,0)</f>
        <v/>
      </c>
      <c r="G5" s="12">
        <f>IFERROR(E5/B5,0)</f>
        <v/>
      </c>
      <c r="H5" s="11">
        <f>COUNTA(Constructoras!A5:A200)</f>
        <v/>
      </c>
      <c r="I5" s="11" t="n">
        <v>0</v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7" min="1" max="1"/>
    <col width="22" customWidth="1" style="7" min="2" max="2"/>
    <col width="20" customWidth="1" style="7" min="3" max="3"/>
    <col width="26" customWidth="1" style="7" min="4" max="4"/>
    <col width="34" customWidth="1" style="7" min="5" max="5"/>
    <col width="18" customWidth="1" style="7" min="6" max="6"/>
    <col width="34" customWidth="1" style="7" min="7" max="7"/>
    <col width="16" customWidth="1" style="7" min="8" max="8"/>
    <col width="16" customWidth="1" style="7" min="9" max="9"/>
    <col width="20" customWidth="1" style="7" min="10" max="10"/>
    <col width="30" customWidth="1" style="7" min="11" max="11"/>
  </cols>
  <sheetData>
    <row r="1">
      <c r="A1" s="13" t="inlineStr">
        <is>
          <t>Tracker de Prospección — LinkedIn (conectores, comercios, bancos/constructoras)</t>
        </is>
      </c>
    </row>
    <row r="2">
      <c r="A2" s="14" t="inlineStr">
        <is>
          <t>Editar solo filas debajo del encabezado. Tipo: Conector / Comercio directo / Banco / Constructora. Estado: Prospecto / Mensaje armado / Enviado por Jhey / Respondió / Reunión agendada / Cerrado / Rechazado. La automatización solo arma el mensaje y lo deja acá — nunca envía ni solicita conexión, eso lo hace siempre Jhey.</t>
        </is>
      </c>
    </row>
    <row r="4">
      <c r="A4" s="15" t="inlineStr">
        <is>
          <t>Fecha</t>
        </is>
      </c>
      <c r="B4" s="15" t="inlineStr">
        <is>
          <t>Nombre</t>
        </is>
      </c>
      <c r="C4" s="15" t="inlineStr">
        <is>
          <t>Tipo</t>
        </is>
      </c>
      <c r="D4" s="15" t="inlineStr">
        <is>
          <t>Cargo / Empresa</t>
        </is>
      </c>
      <c r="E4" s="15" t="inlineStr">
        <is>
          <t>Perfil LinkedIn</t>
        </is>
      </c>
      <c r="F4" s="15" t="inlineStr">
        <is>
          <t>Contactos en común</t>
        </is>
      </c>
      <c r="G4" s="15" t="inlineStr">
        <is>
          <t>Gancho (por qué le escribimos)</t>
        </is>
      </c>
      <c r="H4" s="15" t="inlineStr">
        <is>
          <t>Mensaje armado (sí/no)</t>
        </is>
      </c>
      <c r="I4" s="15" t="inlineStr">
        <is>
          <t>Estado</t>
        </is>
      </c>
      <c r="J4" s="15" t="inlineStr">
        <is>
          <t>Próxima acción</t>
        </is>
      </c>
      <c r="K4" s="15" t="inlineStr">
        <is>
          <t>Notas</t>
        </is>
      </c>
    </row>
    <row r="5">
      <c r="A5" s="16" t="inlineStr">
        <is>
          <t>2026-07-31</t>
        </is>
      </c>
      <c r="B5" s="16" t="inlineStr">
        <is>
          <t>Adriana Maria Gomez</t>
        </is>
      </c>
      <c r="C5" s="16" t="inlineStr">
        <is>
          <t>Comercio directo</t>
        </is>
      </c>
      <c r="D5" s="16" t="inlineStr">
        <is>
          <t>Directora General, Clínica Odontológica Spa Dental</t>
        </is>
      </c>
      <c r="E5" s="16" t="inlineStr">
        <is>
          <t>https://www.linkedin.com/in/adriana-maria-gomez-5a782347/</t>
        </is>
      </c>
      <c r="F5" s="16" t="inlineStr">
        <is>
          <t>Ninguno</t>
        </is>
      </c>
      <c r="G5" s="16" t="inlineStr">
        <is>
          <t>Categoría ICP #1 (odontología+spa) — Directora General</t>
        </is>
      </c>
      <c r="H5" s="16" t="inlineStr">
        <is>
          <t>Sí</t>
        </is>
      </c>
      <c r="I5" s="16" t="inlineStr">
        <is>
          <t>Mensaje armado</t>
        </is>
      </c>
      <c r="J5" s="16" t="inlineStr">
        <is>
          <t>Esperar a que Jhey lo envíe</t>
        </is>
      </c>
      <c r="K5" s="16" t="inlineStr"/>
    </row>
    <row r="6">
      <c r="A6" s="16" t="inlineStr">
        <is>
          <t>2026-07-31</t>
        </is>
      </c>
      <c r="B6" s="16" t="inlineStr">
        <is>
          <t>Diana Cifuentes Mejía</t>
        </is>
      </c>
      <c r="C6" s="16" t="inlineStr">
        <is>
          <t>Comercio directo</t>
        </is>
      </c>
      <c r="D6" s="16" t="inlineStr">
        <is>
          <t>Arquitecta constructora</t>
        </is>
      </c>
      <c r="E6" s="16" t="inlineStr">
        <is>
          <t>https://www.linkedin.com/in/diana-cifuentes-mejía-7b5997156/</t>
        </is>
      </c>
      <c r="F6" s="16" t="inlineStr">
        <is>
          <t>Ninguno</t>
        </is>
      </c>
      <c r="G6" s="16" t="inlineStr">
        <is>
          <t>Categoría ICP #3 (remodelación) — perfil técnico independiente</t>
        </is>
      </c>
      <c r="H6" s="16" t="inlineStr">
        <is>
          <t>Sí</t>
        </is>
      </c>
      <c r="I6" s="16" t="inlineStr">
        <is>
          <t>Mensaje armado</t>
        </is>
      </c>
      <c r="J6" s="16" t="inlineStr">
        <is>
          <t>Esperar a que Jhey lo envíe</t>
        </is>
      </c>
      <c r="K6" s="16" t="inlineStr"/>
    </row>
    <row r="7">
      <c r="A7" s="16" t="inlineStr">
        <is>
          <t>2026-07-31</t>
        </is>
      </c>
      <c r="B7" s="16" t="inlineStr">
        <is>
          <t>Felipe Andrés Betancurt Molina</t>
        </is>
      </c>
      <c r="C7" s="16" t="inlineStr">
        <is>
          <t>Conector</t>
        </is>
      </c>
      <c r="D7" s="16" t="inlineStr">
        <is>
          <t>CMO Fraccional / Growth Marketing, independiente</t>
        </is>
      </c>
      <c r="E7" s="16" t="inlineStr">
        <is>
          <t>https://www.linkedin.com/in/felipebetancurt/</t>
        </is>
      </c>
      <c r="F7" s="16" t="inlineStr">
        <is>
          <t>Ninguno</t>
        </is>
      </c>
      <c r="G7" s="16" t="inlineStr">
        <is>
          <t>Trabaja con varias pymes como CMO fraccional — puede referir clientes</t>
        </is>
      </c>
      <c r="H7" s="16" t="inlineStr">
        <is>
          <t>Sí</t>
        </is>
      </c>
      <c r="I7" s="16" t="inlineStr">
        <is>
          <t>Mensaje armado</t>
        </is>
      </c>
      <c r="J7" s="16" t="inlineStr">
        <is>
          <t>Esperar a que Jhey lo envíe</t>
        </is>
      </c>
      <c r="K7" s="16" t="inlineStr"/>
    </row>
    <row r="8">
      <c r="A8" s="16" t="inlineStr">
        <is>
          <t>2026-07-31</t>
        </is>
      </c>
      <c r="B8" s="16" t="inlineStr">
        <is>
          <t>Duván Ospina Vélez</t>
        </is>
      </c>
      <c r="C8" s="16" t="inlineStr">
        <is>
          <t>Conector</t>
        </is>
      </c>
      <c r="D8" s="16" t="inlineStr">
        <is>
          <t>Business Developer, Partner Ecosystem LATAM (Platzi) — conversational commerce</t>
        </is>
      </c>
      <c r="E8" s="16" t="inlineStr">
        <is>
          <t>https://www.linkedin.com/in/duvánospinav/</t>
        </is>
      </c>
      <c r="F8" s="16" t="inlineStr">
        <is>
          <t>Ninguno</t>
        </is>
      </c>
      <c r="G8" s="16" t="inlineStr">
        <is>
          <t>Rol de partnerships en WhatsApp/ventas — sinergia directa con el modelo de Neggo</t>
        </is>
      </c>
      <c r="H8" s="16" t="inlineStr">
        <is>
          <t>Sí</t>
        </is>
      </c>
      <c r="I8" s="16" t="inlineStr">
        <is>
          <t>Mensaje armado</t>
        </is>
      </c>
      <c r="J8" s="16" t="inlineStr">
        <is>
          <t>Esperar a que Jhey lo envíe</t>
        </is>
      </c>
      <c r="K8" s="16" t="inlineStr"/>
    </row>
    <row r="9">
      <c r="A9" s="16" t="inlineStr">
        <is>
          <t>2026-07-31</t>
        </is>
      </c>
      <c r="B9" s="16" t="inlineStr">
        <is>
          <t>Mauricio Llano Rios</t>
        </is>
      </c>
      <c r="C9" s="16" t="inlineStr">
        <is>
          <t>Constructora</t>
        </is>
      </c>
      <c r="D9" s="16" t="inlineStr">
        <is>
          <t>Gerente Comercial / Estructurador de Negocios, Constructora Colpatria</t>
        </is>
      </c>
      <c r="E9" s="16" t="inlineStr">
        <is>
          <t>https://www.linkedin.com/in/mauricio-llano-rios-62880536/</t>
        </is>
      </c>
      <c r="F9" s="16" t="inlineStr">
        <is>
          <t>Sebastian + 2 más</t>
        </is>
      </c>
      <c r="G9" s="16" t="inlineStr">
        <is>
          <t>Constructora real, mutual con Sebastian — mensaje informal, sin pitch (fase 2 aún no arranca)</t>
        </is>
      </c>
      <c r="H9" s="16" t="inlineStr">
        <is>
          <t>Sí</t>
        </is>
      </c>
      <c r="I9" s="16" t="inlineStr">
        <is>
          <t>Mensaje armado</t>
        </is>
      </c>
      <c r="J9" s="16" t="inlineStr">
        <is>
          <t>Esperar a que Jhey lo envíe</t>
        </is>
      </c>
      <c r="K9" s="16" t="inlineStr">
        <is>
          <t>Solo conversación exploratoria — no formal, regla de estrategia-adquisicion sección 9</t>
        </is>
      </c>
    </row>
    <row r="10">
      <c r="A10" s="16" t="inlineStr">
        <is>
          <t>2026-07-31</t>
        </is>
      </c>
      <c r="B10" s="16" t="inlineStr">
        <is>
          <t>Carlos Alberto Uribe B</t>
        </is>
      </c>
      <c r="C10" s="16" t="inlineStr">
        <is>
          <t>Banco</t>
        </is>
      </c>
      <c r="D10" s="16" t="inlineStr">
        <is>
          <t>Gerente Medellín, Acción Fiduciaria</t>
        </is>
      </c>
      <c r="E10" s="16" t="inlineStr">
        <is>
          <t>https://www.linkedin.com/in/carlos-alberto-uribe-b-24744622/</t>
        </is>
      </c>
      <c r="F10" s="16" t="inlineStr">
        <is>
          <t>Paula</t>
        </is>
      </c>
      <c r="G10" s="16" t="inlineStr">
        <is>
          <t>Sector fiduciario/financiero — mensaje informal, sin pitch (fase 3 bloqueada)</t>
        </is>
      </c>
      <c r="H10" s="16" t="inlineStr">
        <is>
          <t>Sí</t>
        </is>
      </c>
      <c r="I10" s="16" t="inlineStr">
        <is>
          <t>Mensaje armado</t>
        </is>
      </c>
      <c r="J10" s="16" t="inlineStr">
        <is>
          <t>Esperar a que Jhey lo envíe</t>
        </is>
      </c>
      <c r="K10" s="16" t="inlineStr">
        <is>
          <t>Solo conversación exploratoria — no formal, regla de estrategia-adquisicion sección 10</t>
        </is>
      </c>
    </row>
    <row r="11">
      <c r="A11" s="16" t="inlineStr">
        <is>
          <t>2026-07-31</t>
        </is>
      </c>
      <c r="B11" s="16" t="inlineStr">
        <is>
          <t>Adriana Giraldo Mejia</t>
        </is>
      </c>
      <c r="C11" s="16" t="inlineStr">
        <is>
          <t>Comercio directo</t>
        </is>
      </c>
      <c r="D11" s="16" t="inlineStr">
        <is>
          <t>CEO, AGL Eventos Empresariales (también Directora Ejecutiva, Asociación Antioqueña de Otorrinolaringología)</t>
        </is>
      </c>
      <c r="E11" s="16" t="inlineStr">
        <is>
          <t>https://www.linkedin.com/in/adriana-giraldo-mejia-003259159/</t>
        </is>
      </c>
      <c r="F11" s="16" t="inlineStr">
        <is>
          <t>Juan Sebastián y Lucía</t>
        </is>
      </c>
      <c r="G11" s="16" t="inlineStr">
        <is>
          <t>Categoría ICP #5 (eventos) — CEO de empresa de eventos empresariales en Medellín</t>
        </is>
      </c>
      <c r="H11" s="16" t="inlineStr">
        <is>
          <t>Sí</t>
        </is>
      </c>
      <c r="I11" s="16" t="inlineStr">
        <is>
          <t>Mensaje armado</t>
        </is>
      </c>
      <c r="J11" s="16" t="inlineStr">
        <is>
          <t>Esperar a que Jhey lo envíe</t>
        </is>
      </c>
      <c r="K11" s="16" t="inlineStr">
        <is>
          <t>Perfil marcado "en busca de empleo" pero rol vigente es CEO de AGL Eventos — verificar interés real antes de insistir</t>
        </is>
      </c>
    </row>
    <row r="12">
      <c r="A12" s="16" t="inlineStr">
        <is>
          <t>2026-07-31</t>
        </is>
      </c>
      <c r="B12" s="16" t="inlineStr">
        <is>
          <t>Angela María Vélez Toro</t>
        </is>
      </c>
      <c r="C12" s="16" t="inlineStr">
        <is>
          <t>Comercio directo</t>
        </is>
      </c>
      <c r="D12" s="16" t="inlineStr">
        <is>
          <t>Directora clínica, Clínica Odontoser</t>
        </is>
      </c>
      <c r="E12" s="16" t="inlineStr">
        <is>
          <t>https://www.linkedin.com/in/angela-mar%C3%ADa-v%C3%A9lez-toro-b738681ba/</t>
        </is>
      </c>
      <c r="F12" s="16" t="inlineStr">
        <is>
          <t>Ninguno</t>
        </is>
      </c>
      <c r="G12" s="16" t="inlineStr">
        <is>
          <t>Categoría ICP #1 (odontología) — Directora de clínica dental en Medellín</t>
        </is>
      </c>
      <c r="H12" s="16" t="inlineStr">
        <is>
          <t>Sí</t>
        </is>
      </c>
      <c r="I12" s="16" t="inlineStr">
        <is>
          <t>Mensaje armado</t>
        </is>
      </c>
      <c r="J12" s="16" t="inlineStr">
        <is>
          <t>Esperar a que Jhey lo envíe</t>
        </is>
      </c>
      <c r="K12" s="16" t="n"/>
    </row>
    <row r="13">
      <c r="A13" s="16" t="inlineStr">
        <is>
          <t>2026-07-31</t>
        </is>
      </c>
      <c r="B13" s="16" t="inlineStr">
        <is>
          <t>Michael Andrés García Pérez</t>
        </is>
      </c>
      <c r="C13" s="16" t="inlineStr">
        <is>
          <t>Conector</t>
        </is>
      </c>
      <c r="D13" s="16" t="inlineStr">
        <is>
          <t>Consultor Empresarial / Director Comercial — 20 años en estrategia comercial y crecimiento de pymes</t>
        </is>
      </c>
      <c r="E13" s="16" t="inlineStr">
        <is>
          <t>https://www.linkedin.com/in/michael-andr%C3%A9s-garc%C3%ADa-p%C3%A9rez-1aa56252/</t>
        </is>
      </c>
      <c r="F13" s="16" t="inlineStr">
        <is>
          <t>Daniel Betancur</t>
        </is>
      </c>
      <c r="G13" s="16" t="inlineStr">
        <is>
          <t>Consultor independiente enfocado en pymes — candidato natural para referir negocios</t>
        </is>
      </c>
      <c r="H13" s="16" t="inlineStr">
        <is>
          <t>Sí</t>
        </is>
      </c>
      <c r="I13" s="16" t="inlineStr">
        <is>
          <t>Mensaje armado</t>
        </is>
      </c>
      <c r="J13" s="16" t="inlineStr">
        <is>
          <t>Esperar a que Jhey lo envíe</t>
        </is>
      </c>
      <c r="K13" s="16" t="n"/>
    </row>
    <row r="14" s="7">
      <c r="A14" s="16" t="inlineStr">
        <is>
          <t>2026-07-31</t>
        </is>
      </c>
      <c r="B14" s="16" t="inlineStr">
        <is>
          <t>Carolina Zuleta</t>
        </is>
      </c>
      <c r="C14" s="16" t="inlineStr">
        <is>
          <t>Constructora</t>
        </is>
      </c>
      <c r="D14" s="16" t="inlineStr">
        <is>
          <t>Gerente Comercial / Estructuración y Gerencia de Proyectos, Convel S.A.S (sector inmobiliario y construcción)</t>
        </is>
      </c>
      <c r="E14" s="16" t="inlineStr">
        <is>
          <t>https://www.linkedin.com/in/carolina-zuleta/</t>
        </is>
      </c>
      <c r="F14" s="16" t="inlineStr">
        <is>
          <t>Andrés Escobar Uribe</t>
        </is>
      </c>
      <c r="G14" s="16" t="inlineStr">
        <is>
          <t>Constructora real, rol de estructuración de negocios — mensaje informal, sin pitch (fase 2 aún no arranca)</t>
        </is>
      </c>
      <c r="H14" s="16" t="inlineStr">
        <is>
          <t>Sí</t>
        </is>
      </c>
      <c r="I14" s="16" t="inlineStr">
        <is>
          <t>Mensaje armado</t>
        </is>
      </c>
      <c r="J14" s="16" t="inlineStr">
        <is>
          <t>Esperar a que Jhey lo envíe</t>
        </is>
      </c>
      <c r="K14" s="16" t="inlineStr">
        <is>
          <t>Solo conversación exploratoria — no formal, regla de estrategia-adquisicion sección 9</t>
        </is>
      </c>
    </row>
    <row r="15" s="7">
      <c r="A15" s="16" t="inlineStr">
        <is>
          <t>2026-07-31</t>
        </is>
      </c>
      <c r="B15" s="16" t="inlineStr">
        <is>
          <t>María Azaín Ayala</t>
        </is>
      </c>
      <c r="C15" s="16" t="inlineStr">
        <is>
          <t>Comercio directo</t>
        </is>
      </c>
      <c r="D15" s="16" t="inlineStr">
        <is>
          <t>Cirujana plástica, estética y reconstructiva (práctica propia)</t>
        </is>
      </c>
      <c r="E15" s="16" t="inlineStr">
        <is>
          <t>https://www.linkedin.com/in/doctora-maria-azain/</t>
        </is>
      </c>
      <c r="F15" s="16" t="inlineStr">
        <is>
          <t>Ninguno</t>
        </is>
      </c>
      <c r="G15" s="16" t="inlineStr">
        <is>
          <t>Categoría ICP #1 (cirugía estética) — práctica propia en Medellín</t>
        </is>
      </c>
      <c r="H15" s="16" t="inlineStr">
        <is>
          <t>Sí</t>
        </is>
      </c>
      <c r="I15" s="16" t="inlineStr">
        <is>
          <t>Mensaje armado</t>
        </is>
      </c>
      <c r="J15" s="16" t="inlineStr">
        <is>
          <t>Esperar a que Jhey lo envíe</t>
        </is>
      </c>
      <c r="K15" s="16" t="n"/>
    </row>
    <row r="16" s="7">
      <c r="A16" s="16" t="inlineStr">
        <is>
          <t>2026-07-31</t>
        </is>
      </c>
      <c r="B16" s="16" t="inlineStr">
        <is>
          <t>Esteban Cadavid</t>
        </is>
      </c>
      <c r="C16" s="16" t="inlineStr">
        <is>
          <t>Conector</t>
        </is>
      </c>
      <c r="D16" s="16" t="inlineStr">
        <is>
          <t>Consultor Financiero para PYMES — contenido "Hablemos de tu negocio" (2.991 seguidores)</t>
        </is>
      </c>
      <c r="E16" s="16" t="inlineStr">
        <is>
          <t>https://www.linkedin.com/in/estebancadavid/</t>
        </is>
      </c>
      <c r="F16" s="16" t="inlineStr">
        <is>
          <t>Yady Alexandra Anzueta Duarte y Carlos Guayara</t>
        </is>
      </c>
      <c r="G16" s="16" t="inlineStr">
        <is>
          <t>Consultor financiero independiente para pymes en Medellín — candidato natural para referir negocios</t>
        </is>
      </c>
      <c r="H16" s="16" t="inlineStr">
        <is>
          <t>Sí</t>
        </is>
      </c>
      <c r="I16" s="16" t="inlineStr">
        <is>
          <t>Mensaje armado</t>
        </is>
      </c>
      <c r="J16" s="16" t="inlineStr">
        <is>
          <t>Esperar a que Jhey lo envíe</t>
        </is>
      </c>
      <c r="K16" s="16" t="n"/>
    </row>
    <row r="17" s="7">
      <c r="A17" s="16" t="inlineStr">
        <is>
          <t>2026-07-31</t>
        </is>
      </c>
      <c r="B17" s="16" t="inlineStr">
        <is>
          <t>Sandra Milena Holguin Ramirez</t>
        </is>
      </c>
      <c r="C17" s="16" t="inlineStr">
        <is>
          <t>Banco</t>
        </is>
      </c>
      <c r="D17" s="16" t="inlineStr">
        <is>
          <t>Gerente Transaccional Senior, BBVA Regional Antioquia-Medellín</t>
        </is>
      </c>
      <c r="E17" s="16" t="inlineStr">
        <is>
          <t>https://www.linkedin.com/in/sandra-milena-holguin-ramirez-12a2a61ba/</t>
        </is>
      </c>
      <c r="F17" s="16" t="inlineStr">
        <is>
          <t>Yady Alexandra Anzueta Duarte y Harry Viasús</t>
        </is>
      </c>
      <c r="G17" s="16" t="inlineStr">
        <is>
          <t>Banco real, cash management + estructuración de negocios — mensaje informal, sin pitch (fase 3 bloqueada)</t>
        </is>
      </c>
      <c r="H17" s="16" t="inlineStr">
        <is>
          <t>Sí</t>
        </is>
      </c>
      <c r="I17" s="16" t="inlineStr">
        <is>
          <t>Mensaje armado</t>
        </is>
      </c>
      <c r="J17" s="16" t="inlineStr">
        <is>
          <t>Esperar a que Jhey lo envíe</t>
        </is>
      </c>
      <c r="K17" s="16" t="inlineStr">
        <is>
          <t>Solo conversación exploratoria — no formal, regla de estrategia-adquisicion sección 10</t>
        </is>
      </c>
    </row>
    <row r="18">
      <c r="A18" s="16" t="inlineStr">
        <is>
          <t>2026-08-03</t>
        </is>
      </c>
      <c r="B18" s="16" t="inlineStr">
        <is>
          <t>Claudia Marcela Gaviria G.</t>
        </is>
      </c>
      <c r="C18" s="16" t="inlineStr">
        <is>
          <t>Comercio directo</t>
        </is>
      </c>
      <c r="D18" s="16" t="inlineStr">
        <is>
          <t>Médica Dermatóloga (Maestría en Dermatología Estética), CG Dermatology Experience</t>
        </is>
      </c>
      <c r="E18" s="16" t="inlineStr">
        <is>
          <t>https://www.linkedin.com/in/claudia-marcela-gaviria-g-1412791b0/</t>
        </is>
      </c>
      <c r="F18" s="16" t="inlineStr">
        <is>
          <t>Andrés</t>
        </is>
      </c>
      <c r="G18" s="16" t="inlineStr">
        <is>
          <t>Categoría ICP #1 (dermatología estética) — fundadora/dirige CG Dermatology Experience en Medellín</t>
        </is>
      </c>
      <c r="H18" s="16" t="inlineStr">
        <is>
          <t>Sí</t>
        </is>
      </c>
      <c r="I18" s="16" t="inlineStr">
        <is>
          <t>Mensaje armado</t>
        </is>
      </c>
      <c r="J18" s="16" t="inlineStr">
        <is>
          <t>Esperar a que Jhey lo envíe</t>
        </is>
      </c>
      <c r="K18" s="16" t="n"/>
    </row>
    <row r="19">
      <c r="A19" s="16" t="inlineStr">
        <is>
          <t>2026-08-03</t>
        </is>
      </c>
      <c r="B19" s="16" t="inlineStr">
        <is>
          <t>Melissa Jaramillo Beltrán</t>
        </is>
      </c>
      <c r="C19" s="16" t="inlineStr">
        <is>
          <t>Comercio directo</t>
        </is>
      </c>
      <c r="D19" s="16" t="inlineStr">
        <is>
          <t>Wedding &amp; Evento Planner, La Vie Bohème</t>
        </is>
      </c>
      <c r="E19" s="16" t="inlineStr">
        <is>
          <t>https://www.linkedin.com/in/melissa-jaramillo-beltr%C3%A1n-98abb5130/</t>
        </is>
      </c>
      <c r="F19" s="16" t="inlineStr">
        <is>
          <t>Valentina</t>
        </is>
      </c>
      <c r="G19" s="16" t="inlineStr">
        <is>
          <t>Categoría ICP #5 (eventos) — wedding/evento planner con marca propia (La Vie Bohème) en Medellín</t>
        </is>
      </c>
      <c r="H19" s="16" t="inlineStr">
        <is>
          <t>Sí</t>
        </is>
      </c>
      <c r="I19" s="16" t="inlineStr">
        <is>
          <t>Mensaje armado</t>
        </is>
      </c>
      <c r="J19" s="16" t="inlineStr">
        <is>
          <t>Esperar a que Jhey lo envíe</t>
        </is>
      </c>
      <c r="K19" s="16" t="n"/>
    </row>
    <row r="20">
      <c r="A20" s="16" t="inlineStr">
        <is>
          <t>2026-08-03</t>
        </is>
      </c>
      <c r="B20" s="16" t="inlineStr">
        <is>
          <t>Óscar Guzmán, Msc</t>
        </is>
      </c>
      <c r="C20" s="16" t="inlineStr">
        <is>
          <t>Conector</t>
        </is>
      </c>
      <c r="D20" s="16" t="inlineStr">
        <is>
          <t>Consultor Senior en Estrategia &amp; Gestión, Procesos &amp; Operaciones</t>
        </is>
      </c>
      <c r="E20" s="16" t="inlineStr">
        <is>
          <t>https://www.linkedin.com/in/%C3%B3scar-guzm%C3%A1n/</t>
        </is>
      </c>
      <c r="F20" s="16" t="inlineStr">
        <is>
          <t>Ninguno</t>
        </is>
      </c>
      <c r="G20" s="16" t="inlineStr">
        <is>
          <t>Consultor de estrategia/gestión para empresas en Medellín — candidato para referir negocios pyme</t>
        </is>
      </c>
      <c r="H20" s="16" t="inlineStr">
        <is>
          <t>Sí</t>
        </is>
      </c>
      <c r="I20" s="16" t="inlineStr">
        <is>
          <t>Mensaje armado</t>
        </is>
      </c>
      <c r="J20" s="16" t="inlineStr">
        <is>
          <t>Esperar a que Jhey lo envíe</t>
        </is>
      </c>
      <c r="K20" s="16" t="n"/>
    </row>
    <row r="21">
      <c r="A21" s="16" t="inlineStr">
        <is>
          <t>2026-08-03</t>
        </is>
      </c>
      <c r="B21" s="16" t="inlineStr">
        <is>
          <t>Julián dos Santos</t>
        </is>
      </c>
      <c r="C21" s="16" t="inlineStr">
        <is>
          <t>Constructora</t>
        </is>
      </c>
      <c r="D21" s="16" t="inlineStr">
        <is>
          <t>Gerente de Negocios | Ingeniería Civil, sector construcción</t>
        </is>
      </c>
      <c r="E21" s="16" t="inlineStr">
        <is>
          <t>https://www.linkedin.com/in/julian-dos-santos/</t>
        </is>
      </c>
      <c r="F21" s="16" t="inlineStr">
        <is>
          <t>Mónica Agudelo Arango + Andrés Escobar Uribe + 1 más</t>
        </is>
      </c>
      <c r="G21" s="16" t="inlineStr">
        <is>
          <t>Constructora/sector inmobiliario real, mutuales fuertes — mensaje informal, sin pitch (fase 2 aún no arranca)</t>
        </is>
      </c>
      <c r="H21" s="16" t="inlineStr">
        <is>
          <t>Sí</t>
        </is>
      </c>
      <c r="I21" s="16" t="inlineStr">
        <is>
          <t>Mensaje armado</t>
        </is>
      </c>
      <c r="J21" s="16" t="inlineStr">
        <is>
          <t>Esperar a que Jhey lo envíe</t>
        </is>
      </c>
      <c r="K21" s="16" t="inlineStr">
        <is>
          <t>Solo conversación exploratoria — no formal, regla de estrategia-adquisicion sección 9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2026-07-17T22:30:21Z</dcterms:created>
  <dcterms:modified xmlns:dcterms="http://purl.org/dc/terms/" xmlns:xsi="http://www.w3.org/2001/XMLSchema-instance" xsi:type="dcterms:W3CDTF">2026-08-03T14:13:26Z</dcterms:modified>
  <cp:revision>0</cp:revision>
</cp:coreProperties>
</file>